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endra_2015\AgenticAI_Programs\Agentic_Batch2\2-Langchain Basics\My_Agentic_Apps\Cash_Flow_Prediction\"/>
    </mc:Choice>
  </mc:AlternateContent>
  <xr:revisionPtr revIDLastSave="0" documentId="13_ncr:1_{67AAD831-3469-4A9D-A094-332E1DD704D5}" xr6:coauthVersionLast="36" xr6:coauthVersionMax="36" xr10:uidLastSave="{00000000-0000-0000-0000-000000000000}"/>
  <bookViews>
    <workbookView xWindow="0" yWindow="0" windowWidth="23040" windowHeight="8424" xr2:uid="{F5135364-139E-44FC-893C-A3DADE1CA03E}"/>
  </bookViews>
  <sheets>
    <sheet name="Sheet1" sheetId="1" r:id="rId1"/>
  </sheets>
  <definedNames>
    <definedName name="_xlnm._FilterDatabase" localSheetId="0" hidden="1">Sheet1!$A$1:$Q$61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P24" i="1" s="1"/>
  <c r="Q24" i="1" s="1"/>
  <c r="N25" i="1"/>
  <c r="N26" i="1"/>
  <c r="N27" i="1"/>
  <c r="N28" i="1"/>
  <c r="N29" i="1"/>
  <c r="N30" i="1"/>
  <c r="N31" i="1"/>
  <c r="N32" i="1"/>
  <c r="P32" i="1" s="1"/>
  <c r="Q32" i="1" s="1"/>
  <c r="N33" i="1"/>
  <c r="N34" i="1"/>
  <c r="N35" i="1"/>
  <c r="N36" i="1"/>
  <c r="N37" i="1"/>
  <c r="N38" i="1"/>
  <c r="N39" i="1"/>
  <c r="N40" i="1"/>
  <c r="P40" i="1" s="1"/>
  <c r="Q40" i="1" s="1"/>
  <c r="N41" i="1"/>
  <c r="N42" i="1"/>
  <c r="N43" i="1"/>
  <c r="N44" i="1"/>
  <c r="N45" i="1"/>
  <c r="N46" i="1"/>
  <c r="N47" i="1"/>
  <c r="N48" i="1"/>
  <c r="P48" i="1" s="1"/>
  <c r="Q48" i="1" s="1"/>
  <c r="N49" i="1"/>
  <c r="N50" i="1"/>
  <c r="N51" i="1"/>
  <c r="N52" i="1"/>
  <c r="N53" i="1"/>
  <c r="N54" i="1"/>
  <c r="N55" i="1"/>
  <c r="N56" i="1"/>
  <c r="P56" i="1" s="1"/>
  <c r="Q56" i="1" s="1"/>
  <c r="N57" i="1"/>
  <c r="N58" i="1"/>
  <c r="N59" i="1"/>
  <c r="N60" i="1"/>
  <c r="N61" i="1"/>
  <c r="M3" i="1"/>
  <c r="P3" i="1" s="1"/>
  <c r="Q3" i="1" s="1"/>
  <c r="M4" i="1"/>
  <c r="P4" i="1" s="1"/>
  <c r="Q4" i="1" s="1"/>
  <c r="M5" i="1"/>
  <c r="P5" i="1" s="1"/>
  <c r="Q5" i="1" s="1"/>
  <c r="M6" i="1"/>
  <c r="M7" i="1"/>
  <c r="M8" i="1"/>
  <c r="M9" i="1"/>
  <c r="P9" i="1" s="1"/>
  <c r="Q9" i="1" s="1"/>
  <c r="M10" i="1"/>
  <c r="P10" i="1" s="1"/>
  <c r="Q10" i="1" s="1"/>
  <c r="M11" i="1"/>
  <c r="P11" i="1" s="1"/>
  <c r="Q11" i="1" s="1"/>
  <c r="M12" i="1"/>
  <c r="P12" i="1" s="1"/>
  <c r="Q12" i="1" s="1"/>
  <c r="M13" i="1"/>
  <c r="P13" i="1" s="1"/>
  <c r="Q13" i="1" s="1"/>
  <c r="M14" i="1"/>
  <c r="M15" i="1"/>
  <c r="M16" i="1"/>
  <c r="M17" i="1"/>
  <c r="P17" i="1" s="1"/>
  <c r="Q17" i="1" s="1"/>
  <c r="M18" i="1"/>
  <c r="P18" i="1" s="1"/>
  <c r="Q18" i="1" s="1"/>
  <c r="M19" i="1"/>
  <c r="P19" i="1" s="1"/>
  <c r="Q19" i="1" s="1"/>
  <c r="M20" i="1"/>
  <c r="P20" i="1" s="1"/>
  <c r="Q20" i="1" s="1"/>
  <c r="M21" i="1"/>
  <c r="P21" i="1" s="1"/>
  <c r="Q21" i="1" s="1"/>
  <c r="M22" i="1"/>
  <c r="M23" i="1"/>
  <c r="M24" i="1"/>
  <c r="M25" i="1"/>
  <c r="P25" i="1" s="1"/>
  <c r="Q25" i="1" s="1"/>
  <c r="M26" i="1"/>
  <c r="P26" i="1" s="1"/>
  <c r="Q26" i="1" s="1"/>
  <c r="M27" i="1"/>
  <c r="P27" i="1" s="1"/>
  <c r="Q27" i="1" s="1"/>
  <c r="M28" i="1"/>
  <c r="P28" i="1" s="1"/>
  <c r="Q28" i="1" s="1"/>
  <c r="M29" i="1"/>
  <c r="P29" i="1" s="1"/>
  <c r="Q29" i="1" s="1"/>
  <c r="M30" i="1"/>
  <c r="M31" i="1"/>
  <c r="M32" i="1"/>
  <c r="M33" i="1"/>
  <c r="P33" i="1" s="1"/>
  <c r="Q33" i="1" s="1"/>
  <c r="M34" i="1"/>
  <c r="P34" i="1" s="1"/>
  <c r="Q34" i="1" s="1"/>
  <c r="M35" i="1"/>
  <c r="P35" i="1" s="1"/>
  <c r="Q35" i="1" s="1"/>
  <c r="M36" i="1"/>
  <c r="P36" i="1" s="1"/>
  <c r="Q36" i="1" s="1"/>
  <c r="M37" i="1"/>
  <c r="P37" i="1" s="1"/>
  <c r="Q37" i="1" s="1"/>
  <c r="M38" i="1"/>
  <c r="M39" i="1"/>
  <c r="M40" i="1"/>
  <c r="M41" i="1"/>
  <c r="P41" i="1" s="1"/>
  <c r="Q41" i="1" s="1"/>
  <c r="M42" i="1"/>
  <c r="P42" i="1" s="1"/>
  <c r="Q42" i="1" s="1"/>
  <c r="M43" i="1"/>
  <c r="P43" i="1" s="1"/>
  <c r="Q43" i="1" s="1"/>
  <c r="M44" i="1"/>
  <c r="P44" i="1" s="1"/>
  <c r="Q44" i="1" s="1"/>
  <c r="M45" i="1"/>
  <c r="P45" i="1" s="1"/>
  <c r="Q45" i="1" s="1"/>
  <c r="M46" i="1"/>
  <c r="M47" i="1"/>
  <c r="M48" i="1"/>
  <c r="M49" i="1"/>
  <c r="P49" i="1" s="1"/>
  <c r="Q49" i="1" s="1"/>
  <c r="M50" i="1"/>
  <c r="P50" i="1" s="1"/>
  <c r="Q50" i="1" s="1"/>
  <c r="M51" i="1"/>
  <c r="P51" i="1" s="1"/>
  <c r="Q51" i="1" s="1"/>
  <c r="M52" i="1"/>
  <c r="P52" i="1" s="1"/>
  <c r="Q52" i="1" s="1"/>
  <c r="M53" i="1"/>
  <c r="P53" i="1" s="1"/>
  <c r="Q53" i="1" s="1"/>
  <c r="M54" i="1"/>
  <c r="M55" i="1"/>
  <c r="M56" i="1"/>
  <c r="M57" i="1"/>
  <c r="P57" i="1" s="1"/>
  <c r="Q57" i="1" s="1"/>
  <c r="M58" i="1"/>
  <c r="P58" i="1" s="1"/>
  <c r="Q58" i="1" s="1"/>
  <c r="M59" i="1"/>
  <c r="P59" i="1" s="1"/>
  <c r="Q59" i="1" s="1"/>
  <c r="M60" i="1"/>
  <c r="P60" i="1" s="1"/>
  <c r="Q60" i="1" s="1"/>
  <c r="M61" i="1"/>
  <c r="P61" i="1" s="1"/>
  <c r="Q61" i="1" s="1"/>
  <c r="O2" i="1"/>
  <c r="M2" i="1"/>
  <c r="P2" i="1" s="1"/>
  <c r="Q2" i="1" s="1"/>
  <c r="N2" i="1"/>
  <c r="P54" i="1" l="1"/>
  <c r="Q54" i="1" s="1"/>
  <c r="P46" i="1"/>
  <c r="Q46" i="1" s="1"/>
  <c r="P38" i="1"/>
  <c r="Q38" i="1" s="1"/>
  <c r="P30" i="1"/>
  <c r="Q30" i="1" s="1"/>
  <c r="P22" i="1"/>
  <c r="Q22" i="1" s="1"/>
  <c r="P14" i="1"/>
  <c r="Q14" i="1" s="1"/>
  <c r="P6" i="1"/>
  <c r="Q6" i="1" s="1"/>
  <c r="P55" i="1"/>
  <c r="Q55" i="1" s="1"/>
  <c r="P39" i="1"/>
  <c r="Q39" i="1" s="1"/>
  <c r="P31" i="1"/>
  <c r="Q31" i="1" s="1"/>
  <c r="P23" i="1"/>
  <c r="Q23" i="1" s="1"/>
  <c r="P15" i="1"/>
  <c r="Q15" i="1" s="1"/>
  <c r="P7" i="1"/>
  <c r="Q7" i="1" s="1"/>
  <c r="P47" i="1"/>
  <c r="Q47" i="1" s="1"/>
  <c r="P16" i="1"/>
  <c r="Q16" i="1" s="1"/>
  <c r="P8" i="1"/>
  <c r="Q8" i="1" s="1"/>
</calcChain>
</file>

<file path=xl/sharedStrings.xml><?xml version="1.0" encoding="utf-8"?>
<sst xmlns="http://schemas.openxmlformats.org/spreadsheetml/2006/main" count="137" uniqueCount="77">
  <si>
    <t>Country</t>
  </si>
  <si>
    <t>Month</t>
  </si>
  <si>
    <t>Revenue</t>
  </si>
  <si>
    <t>Payroll</t>
  </si>
  <si>
    <t>Vendor_Payments</t>
  </si>
  <si>
    <t>Operating_Expenses</t>
  </si>
  <si>
    <t>FX_Impact</t>
  </si>
  <si>
    <t>Tax_Payments</t>
  </si>
  <si>
    <t>Inflation_Rate</t>
  </si>
  <si>
    <t>Interest_Rate</t>
  </si>
  <si>
    <t>Projected_Sales_Growth</t>
  </si>
  <si>
    <t>Net_Cash_Flow</t>
  </si>
  <si>
    <t>India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</si>
  <si>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</si>
  <si>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</si>
  <si>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</si>
  <si>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</si>
  <si>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</si>
  <si>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</si>
  <si>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</si>
  <si>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</si>
  <si>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</si>
  <si>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</si>
  <si>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</si>
  <si>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</si>
  <si>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</si>
  <si>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</si>
  <si>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</si>
  <si>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</si>
  <si>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</si>
  <si>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</si>
  <si>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</si>
  <si>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</si>
  <si>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</si>
  <si>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</si>
  <si>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</si>
  <si>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</si>
  <si>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</si>
  <si>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</si>
  <si>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</si>
  <si>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</si>
  <si>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</si>
  <si>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</si>
  <si>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</si>
  <si>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</si>
  <si>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</si>
  <si>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</si>
  <si>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</si>
  <si>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</si>
  <si>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</si>
  <si>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</si>
  <si>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</si>
  <si>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</si>
  <si>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</si>
  <si>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</si>
  <si>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</si>
  <si>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</si>
  <si>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</si>
  <si>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</si>
  <si>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</si>
  <si>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</si>
  <si>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</si>
  <si>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</si>
  <si>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</si>
  <si>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</si>
  <si>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</si>
  <si>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</si>
  <si>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</si>
  <si>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</si>
  <si>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</si>
  <si>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</si>
  <si>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</si>
  <si>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</si>
  <si>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Calculated_Cash_Flow</t>
  </si>
  <si>
    <t>Add(Expenses)</t>
  </si>
  <si>
    <t>FX Impact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</si>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</sst>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F7EE-6C78-4982-8843-35E0A8C4F913}">
  <dimension ref="A1:Q61"/>
  <sheetViews>
    <sheetView tabSelected="1" topLeftCell="B1" workbookViewId="0">
      <selection activeCell="K9" sqref="K9"/>
    </sheetView>
  </sheetViews>
  <sheetFormatPr defaultRowHeight="14.4" x14ac:dyDescent="0.3"/>
  <cols>
    <col min="1" max="1" width="7.44140625" bestFit="1" customWidth="1"/>
    <col min="2" max="2" width="7.6640625" bestFit="1" customWidth="1"/>
    <col min="3" max="3" width="9" bestFit="1" customWidth="1"/>
    <col min="4" max="4" width="8" bestFit="1" customWidth="1"/>
    <col min="5" max="5" width="15.88671875" bestFit="1" customWidth="1"/>
    <col min="6" max="6" width="17.6640625" bestFit="1" customWidth="1"/>
    <col min="7" max="7" width="9.5546875" bestFit="1" customWidth="1"/>
    <col min="8" max="8" width="12.77734375" bestFit="1" customWidth="1"/>
    <col min="9" max="9" width="12.6640625" bestFit="1" customWidth="1"/>
    <col min="10" max="10" width="12.109375" bestFit="1" customWidth="1"/>
    <col min="11" max="11" width="21.33203125" bestFit="1" customWidth="1"/>
    <col min="12" max="12" width="13.88671875" style="1" bestFit="1" customWidth="1"/>
    <col min="13" max="13" width="9" bestFit="1" customWidth="1"/>
    <col min="14" max="14" width="12.6640625" bestFit="1" customWidth="1"/>
    <col min="15" max="15" width="9" bestFit="1" customWidth="1"/>
    <col min="16" max="16" width="19.5546875" style="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2</v>
      </c>
      <c r="N1" t="s">
        <v>74</v>
      </c>
      <c r="O1" t="s">
        <v>75</v>
      </c>
      <c r="P1" s="2" t="s">
        <v>73</v>
      </c>
      <c r="Q1" t="s">
        <v>76</v>
      </c>
    </row>
    <row r="2" spans="1:17" x14ac:dyDescent="0.3">
      <c r="A2" t="s">
        <v>12</v>
      </c>
      <c r="B2" t="s">
        <v>13</v>
      </c>
      <c r="C2">
        <v>11421958</v>
      </c>
      <c r="D2">
        <v>2526867</v>
      </c>
      <c r="E2">
        <v>3281932</v>
      </c>
      <c r="F2">
        <v>1909178</v>
      </c>
      <c r="G2">
        <v>-180121</v>
      </c>
      <c r="H2">
        <v>890268</v>
      </c>
      <c r="I2">
        <v>5.69</v>
      </c>
      <c r="J2">
        <v>6.45</v>
      </c>
      <c r="K2">
        <v>5.6</v>
      </c>
      <c r="L2" s="1">
        <v>2633592</v>
      </c>
      <c r="M2">
        <f>C2</f>
        <v>11421958</v>
      </c>
      <c r="N2">
        <f>SUM(D2,E2,F2,H2)</f>
        <v>8608245</v>
      </c>
      <c r="O2">
        <f>G2</f>
        <v>-180121</v>
      </c>
      <c r="P2" s="2">
        <f>(M2-N2)+G2</f>
        <v>2633592</v>
      </c>
      <c r="Q2">
        <f>P2-L2</f>
        <v>0</v>
      </c>
    </row>
    <row r="3" spans="1:17" x14ac:dyDescent="0.3">
      <c r="A3" t="s">
        <v>12</v>
      </c>
      <c r="B3" t="s">
        <v>14</v>
      </c>
      <c r="C3">
        <v>12750180</v>
      </c>
      <c r="D3">
        <v>2492727</v>
      </c>
      <c r="E3">
        <v>3416817</v>
      </c>
      <c r="F3">
        <v>1841335</v>
      </c>
      <c r="G3">
        <v>-21833</v>
      </c>
      <c r="H3">
        <v>844648</v>
      </c>
      <c r="I3">
        <v>4.54</v>
      </c>
      <c r="J3">
        <v>6.97</v>
      </c>
      <c r="K3">
        <v>9.99</v>
      </c>
      <c r="L3" s="1">
        <v>4132820</v>
      </c>
      <c r="M3">
        <f t="shared" ref="M3:M61" si="0">C3</f>
        <v>12750180</v>
      </c>
      <c r="N3">
        <f t="shared" ref="N3:N61" si="1">SUM(D3,E3,F3,H3)</f>
        <v>8595527</v>
      </c>
      <c r="O3">
        <f t="shared" ref="O3:O61" si="2">G3</f>
        <v>-21833</v>
      </c>
      <c r="P3" s="2">
        <f t="shared" ref="P3:P61" si="3">(M3-N3)+G3</f>
        <v>4132820</v>
      </c>
      <c r="Q3">
        <f t="shared" ref="Q3:Q61" si="4">P3-L3</f>
        <v>0</v>
      </c>
    </row>
    <row r="4" spans="1:17" x14ac:dyDescent="0.3">
      <c r="A4" t="s">
        <v>12</v>
      </c>
      <c r="B4" t="s">
        <v>15</v>
      </c>
      <c r="C4">
        <v>13141252</v>
      </c>
      <c r="D4">
        <v>2385311</v>
      </c>
      <c r="E4">
        <v>3426498</v>
      </c>
      <c r="F4">
        <v>1885796</v>
      </c>
      <c r="G4">
        <v>-85824</v>
      </c>
      <c r="H4">
        <v>1009301</v>
      </c>
      <c r="I4">
        <v>5.72</v>
      </c>
      <c r="J4">
        <v>6.01</v>
      </c>
      <c r="K4">
        <v>5.14</v>
      </c>
      <c r="L4" s="1">
        <v>4348522</v>
      </c>
      <c r="M4">
        <f t="shared" si="0"/>
        <v>13141252</v>
      </c>
      <c r="N4">
        <f t="shared" si="1"/>
        <v>8706906</v>
      </c>
      <c r="O4">
        <f t="shared" si="2"/>
        <v>-85824</v>
      </c>
      <c r="P4" s="2">
        <f t="shared" si="3"/>
        <v>4348522</v>
      </c>
      <c r="Q4">
        <f t="shared" si="4"/>
        <v>0</v>
      </c>
    </row>
    <row r="5" spans="1:17" x14ac:dyDescent="0.3">
      <c r="A5" t="s">
        <v>12</v>
      </c>
      <c r="B5" t="s">
        <v>16</v>
      </c>
      <c r="C5">
        <v>12264542</v>
      </c>
      <c r="D5">
        <v>2464478</v>
      </c>
      <c r="E5">
        <v>3770292</v>
      </c>
      <c r="F5">
        <v>1799503</v>
      </c>
      <c r="G5">
        <v>-169477</v>
      </c>
      <c r="H5">
        <v>843332</v>
      </c>
      <c r="I5">
        <v>5.23</v>
      </c>
      <c r="J5">
        <v>6.46</v>
      </c>
      <c r="K5">
        <v>9.7100000000000009</v>
      </c>
      <c r="L5" s="1">
        <v>3217460</v>
      </c>
      <c r="M5">
        <f t="shared" si="0"/>
        <v>12264542</v>
      </c>
      <c r="N5">
        <f t="shared" si="1"/>
        <v>8877605</v>
      </c>
      <c r="O5">
        <f t="shared" si="2"/>
        <v>-169477</v>
      </c>
      <c r="P5" s="2">
        <f t="shared" si="3"/>
        <v>3217460</v>
      </c>
      <c r="Q5">
        <f t="shared" si="4"/>
        <v>0</v>
      </c>
    </row>
    <row r="6" spans="1:17" x14ac:dyDescent="0.3">
      <c r="A6" t="s">
        <v>12</v>
      </c>
      <c r="B6" t="s">
        <v>17</v>
      </c>
      <c r="C6">
        <v>12824783</v>
      </c>
      <c r="D6">
        <v>2436886</v>
      </c>
      <c r="E6">
        <v>3751089</v>
      </c>
      <c r="F6">
        <v>1681551</v>
      </c>
      <c r="G6">
        <v>78360</v>
      </c>
      <c r="H6">
        <v>861373</v>
      </c>
      <c r="I6">
        <v>6.22</v>
      </c>
      <c r="J6">
        <v>6.68</v>
      </c>
      <c r="K6">
        <v>7.7</v>
      </c>
      <c r="L6" s="1">
        <v>4093884</v>
      </c>
      <c r="M6">
        <f t="shared" si="0"/>
        <v>12824783</v>
      </c>
      <c r="N6">
        <f t="shared" si="1"/>
        <v>8730899</v>
      </c>
      <c r="O6">
        <f t="shared" si="2"/>
        <v>78360</v>
      </c>
      <c r="P6" s="2">
        <f t="shared" si="3"/>
        <v>4172244</v>
      </c>
      <c r="Q6">
        <f t="shared" si="4"/>
        <v>78360</v>
      </c>
    </row>
    <row r="7" spans="1:17" x14ac:dyDescent="0.3">
      <c r="A7" t="s">
        <v>12</v>
      </c>
      <c r="B7" t="s">
        <v>18</v>
      </c>
      <c r="C7">
        <v>12605048</v>
      </c>
      <c r="D7">
        <v>2521699</v>
      </c>
      <c r="E7">
        <v>3699650</v>
      </c>
      <c r="F7">
        <v>1889931</v>
      </c>
      <c r="G7">
        <v>-60371</v>
      </c>
      <c r="H7">
        <v>1056710</v>
      </c>
      <c r="I7">
        <v>5.27</v>
      </c>
      <c r="J7">
        <v>6.02</v>
      </c>
      <c r="K7">
        <v>6.39</v>
      </c>
      <c r="L7" s="1">
        <v>3376687</v>
      </c>
      <c r="M7">
        <f t="shared" si="0"/>
        <v>12605048</v>
      </c>
      <c r="N7">
        <f t="shared" si="1"/>
        <v>9167990</v>
      </c>
      <c r="O7">
        <f t="shared" si="2"/>
        <v>-60371</v>
      </c>
      <c r="P7" s="2">
        <f t="shared" si="3"/>
        <v>3376687</v>
      </c>
      <c r="Q7">
        <f t="shared" si="4"/>
        <v>0</v>
      </c>
    </row>
    <row r="8" spans="1:17" x14ac:dyDescent="0.3">
      <c r="A8" t="s">
        <v>12</v>
      </c>
      <c r="B8" t="s">
        <v>19</v>
      </c>
      <c r="C8">
        <v>13473496</v>
      </c>
      <c r="D8">
        <v>2500174</v>
      </c>
      <c r="E8">
        <v>4083446</v>
      </c>
      <c r="F8">
        <v>1698555</v>
      </c>
      <c r="G8">
        <v>-43492</v>
      </c>
      <c r="H8">
        <v>862628</v>
      </c>
      <c r="I8">
        <v>4.57</v>
      </c>
      <c r="J8">
        <v>6.91</v>
      </c>
      <c r="K8">
        <v>6.55</v>
      </c>
      <c r="L8" s="1">
        <v>4285201</v>
      </c>
      <c r="M8">
        <f t="shared" si="0"/>
        <v>13473496</v>
      </c>
      <c r="N8">
        <f t="shared" si="1"/>
        <v>9144803</v>
      </c>
      <c r="O8">
        <f t="shared" si="2"/>
        <v>-43492</v>
      </c>
      <c r="P8" s="2">
        <f t="shared" si="3"/>
        <v>4285201</v>
      </c>
      <c r="Q8">
        <f t="shared" si="4"/>
        <v>0</v>
      </c>
    </row>
    <row r="9" spans="1:17" x14ac:dyDescent="0.3">
      <c r="A9" t="s">
        <v>12</v>
      </c>
      <c r="B9" t="s">
        <v>20</v>
      </c>
      <c r="C9">
        <v>12800051</v>
      </c>
      <c r="D9">
        <v>2577629</v>
      </c>
      <c r="E9">
        <v>3560725</v>
      </c>
      <c r="F9">
        <v>1890181</v>
      </c>
      <c r="G9">
        <v>41097</v>
      </c>
      <c r="H9">
        <v>885057</v>
      </c>
      <c r="I9">
        <v>4.87</v>
      </c>
      <c r="J9">
        <v>6.97</v>
      </c>
      <c r="K9">
        <v>9.65</v>
      </c>
      <c r="L9" s="1">
        <v>3886459</v>
      </c>
      <c r="M9">
        <f t="shared" si="0"/>
        <v>12800051</v>
      </c>
      <c r="N9">
        <f t="shared" si="1"/>
        <v>8913592</v>
      </c>
      <c r="O9">
        <f t="shared" si="2"/>
        <v>41097</v>
      </c>
      <c r="P9" s="2">
        <f t="shared" si="3"/>
        <v>3927556</v>
      </c>
      <c r="Q9">
        <f t="shared" si="4"/>
        <v>41097</v>
      </c>
    </row>
    <row r="10" spans="1:17" x14ac:dyDescent="0.3">
      <c r="A10" t="s">
        <v>12</v>
      </c>
      <c r="B10" t="s">
        <v>21</v>
      </c>
      <c r="C10">
        <v>11935750</v>
      </c>
      <c r="D10">
        <v>2417065</v>
      </c>
      <c r="E10">
        <v>3501201</v>
      </c>
      <c r="F10">
        <v>1749299</v>
      </c>
      <c r="G10">
        <v>125822</v>
      </c>
      <c r="H10">
        <v>824457</v>
      </c>
      <c r="I10">
        <v>4.68</v>
      </c>
      <c r="J10">
        <v>6.2</v>
      </c>
      <c r="K10">
        <v>5.27</v>
      </c>
      <c r="L10" s="1">
        <v>3443728</v>
      </c>
      <c r="M10">
        <f t="shared" si="0"/>
        <v>11935750</v>
      </c>
      <c r="N10">
        <f t="shared" si="1"/>
        <v>8492022</v>
      </c>
      <c r="O10">
        <f t="shared" si="2"/>
        <v>125822</v>
      </c>
      <c r="P10" s="2">
        <f t="shared" si="3"/>
        <v>3569550</v>
      </c>
      <c r="Q10">
        <f t="shared" si="4"/>
        <v>125822</v>
      </c>
    </row>
    <row r="11" spans="1:17" x14ac:dyDescent="0.3">
      <c r="A11" t="s">
        <v>12</v>
      </c>
      <c r="B11" t="s">
        <v>22</v>
      </c>
      <c r="C11">
        <v>12015354</v>
      </c>
      <c r="D11">
        <v>2600884</v>
      </c>
      <c r="E11">
        <v>3212760</v>
      </c>
      <c r="F11">
        <v>1674300</v>
      </c>
      <c r="G11">
        <v>-217202</v>
      </c>
      <c r="H11">
        <v>799428</v>
      </c>
      <c r="I11">
        <v>5.67</v>
      </c>
      <c r="J11">
        <v>6.97</v>
      </c>
      <c r="K11">
        <v>8.64</v>
      </c>
      <c r="L11" s="1">
        <v>3510780</v>
      </c>
      <c r="M11">
        <f t="shared" si="0"/>
        <v>12015354</v>
      </c>
      <c r="N11">
        <f t="shared" si="1"/>
        <v>8287372</v>
      </c>
      <c r="O11">
        <f t="shared" si="2"/>
        <v>-217202</v>
      </c>
      <c r="P11" s="2">
        <f t="shared" si="3"/>
        <v>3510780</v>
      </c>
      <c r="Q11">
        <f t="shared" si="4"/>
        <v>0</v>
      </c>
    </row>
    <row r="12" spans="1:17" x14ac:dyDescent="0.3">
      <c r="A12" t="s">
        <v>12</v>
      </c>
      <c r="B12" t="s">
        <v>23</v>
      </c>
      <c r="C12">
        <v>11633642</v>
      </c>
      <c r="D12">
        <v>2616584</v>
      </c>
      <c r="E12">
        <v>3658972</v>
      </c>
      <c r="F12">
        <v>1698984</v>
      </c>
      <c r="G12">
        <v>2918</v>
      </c>
      <c r="H12">
        <v>768847</v>
      </c>
      <c r="I12">
        <v>6.04</v>
      </c>
      <c r="J12">
        <v>6.2</v>
      </c>
      <c r="K12">
        <v>5.03</v>
      </c>
      <c r="L12" s="1">
        <v>2890255</v>
      </c>
      <c r="M12">
        <f t="shared" si="0"/>
        <v>11633642</v>
      </c>
      <c r="N12">
        <f t="shared" si="1"/>
        <v>8743387</v>
      </c>
      <c r="O12">
        <f t="shared" si="2"/>
        <v>2918</v>
      </c>
      <c r="P12" s="2">
        <f t="shared" si="3"/>
        <v>2893173</v>
      </c>
      <c r="Q12">
        <f t="shared" si="4"/>
        <v>2918</v>
      </c>
    </row>
    <row r="13" spans="1:17" x14ac:dyDescent="0.3">
      <c r="A13" t="s">
        <v>12</v>
      </c>
      <c r="B13" t="s">
        <v>24</v>
      </c>
      <c r="C13">
        <v>10955104</v>
      </c>
      <c r="D13">
        <v>2598610</v>
      </c>
      <c r="E13">
        <v>3311290</v>
      </c>
      <c r="F13">
        <v>1814231</v>
      </c>
      <c r="G13">
        <v>-286014</v>
      </c>
      <c r="H13">
        <v>805766</v>
      </c>
      <c r="I13">
        <v>6.04</v>
      </c>
      <c r="J13">
        <v>6.07</v>
      </c>
      <c r="K13">
        <v>7.15</v>
      </c>
      <c r="L13" s="1">
        <v>2139193</v>
      </c>
      <c r="M13">
        <f t="shared" si="0"/>
        <v>10955104</v>
      </c>
      <c r="N13">
        <f t="shared" si="1"/>
        <v>8529897</v>
      </c>
      <c r="O13">
        <f t="shared" si="2"/>
        <v>-286014</v>
      </c>
      <c r="P13" s="2">
        <f t="shared" si="3"/>
        <v>2139193</v>
      </c>
      <c r="Q13">
        <f t="shared" si="4"/>
        <v>0</v>
      </c>
    </row>
    <row r="14" spans="1:17" x14ac:dyDescent="0.3">
      <c r="A14" t="s">
        <v>12</v>
      </c>
      <c r="B14" t="s">
        <v>25</v>
      </c>
      <c r="C14">
        <v>11202245</v>
      </c>
      <c r="D14">
        <v>2563323</v>
      </c>
      <c r="E14">
        <v>3222901</v>
      </c>
      <c r="F14">
        <v>1920536</v>
      </c>
      <c r="G14">
        <v>-269465</v>
      </c>
      <c r="H14">
        <v>935185</v>
      </c>
      <c r="I14">
        <v>5.16</v>
      </c>
      <c r="J14">
        <v>6.06</v>
      </c>
      <c r="K14">
        <v>6.87</v>
      </c>
      <c r="L14" s="1">
        <v>2290835</v>
      </c>
      <c r="M14">
        <f t="shared" si="0"/>
        <v>11202245</v>
      </c>
      <c r="N14">
        <f t="shared" si="1"/>
        <v>8641945</v>
      </c>
      <c r="O14">
        <f t="shared" si="2"/>
        <v>-269465</v>
      </c>
      <c r="P14" s="2">
        <f t="shared" si="3"/>
        <v>2290835</v>
      </c>
      <c r="Q14">
        <f t="shared" si="4"/>
        <v>0</v>
      </c>
    </row>
    <row r="15" spans="1:17" x14ac:dyDescent="0.3">
      <c r="A15" t="s">
        <v>12</v>
      </c>
      <c r="B15" t="s">
        <v>26</v>
      </c>
      <c r="C15">
        <v>10897716</v>
      </c>
      <c r="D15">
        <v>2595723</v>
      </c>
      <c r="E15">
        <v>3346426</v>
      </c>
      <c r="F15">
        <v>1923109</v>
      </c>
      <c r="G15">
        <v>-275462</v>
      </c>
      <c r="H15">
        <v>821176</v>
      </c>
      <c r="I15">
        <v>5.44</v>
      </c>
      <c r="J15">
        <v>6.12</v>
      </c>
      <c r="K15">
        <v>9.2799999999999994</v>
      </c>
      <c r="L15" s="1">
        <v>1935820</v>
      </c>
      <c r="M15">
        <f t="shared" si="0"/>
        <v>10897716</v>
      </c>
      <c r="N15">
        <f t="shared" si="1"/>
        <v>8686434</v>
      </c>
      <c r="O15">
        <f t="shared" si="2"/>
        <v>-275462</v>
      </c>
      <c r="P15" s="2">
        <f t="shared" si="3"/>
        <v>1935820</v>
      </c>
      <c r="Q15">
        <f t="shared" si="4"/>
        <v>0</v>
      </c>
    </row>
    <row r="16" spans="1:17" x14ac:dyDescent="0.3">
      <c r="A16" t="s">
        <v>12</v>
      </c>
      <c r="B16" t="s">
        <v>27</v>
      </c>
      <c r="C16">
        <v>10525067</v>
      </c>
      <c r="D16">
        <v>2594020</v>
      </c>
      <c r="E16">
        <v>3493386</v>
      </c>
      <c r="F16">
        <v>1740982</v>
      </c>
      <c r="G16">
        <v>-178374</v>
      </c>
      <c r="H16">
        <v>827251</v>
      </c>
      <c r="I16">
        <v>5.92</v>
      </c>
      <c r="J16">
        <v>6.11</v>
      </c>
      <c r="K16">
        <v>7.64</v>
      </c>
      <c r="L16" s="1">
        <v>1691054</v>
      </c>
      <c r="M16">
        <f t="shared" si="0"/>
        <v>10525067</v>
      </c>
      <c r="N16">
        <f t="shared" si="1"/>
        <v>8655639</v>
      </c>
      <c r="O16">
        <f t="shared" si="2"/>
        <v>-178374</v>
      </c>
      <c r="P16" s="2">
        <f t="shared" si="3"/>
        <v>1691054</v>
      </c>
      <c r="Q16">
        <f t="shared" si="4"/>
        <v>0</v>
      </c>
    </row>
    <row r="17" spans="1:17" x14ac:dyDescent="0.3">
      <c r="A17" t="s">
        <v>12</v>
      </c>
      <c r="B17" t="s">
        <v>28</v>
      </c>
      <c r="C17">
        <v>10633050</v>
      </c>
      <c r="D17">
        <v>2430015</v>
      </c>
      <c r="E17">
        <v>3003597</v>
      </c>
      <c r="F17">
        <v>1757059</v>
      </c>
      <c r="G17">
        <v>-114660</v>
      </c>
      <c r="H17">
        <v>821644</v>
      </c>
      <c r="I17">
        <v>5.89</v>
      </c>
      <c r="J17">
        <v>6.14</v>
      </c>
      <c r="K17">
        <v>8.6300000000000008</v>
      </c>
      <c r="L17" s="1">
        <v>2506075</v>
      </c>
      <c r="M17">
        <f t="shared" si="0"/>
        <v>10633050</v>
      </c>
      <c r="N17">
        <f t="shared" si="1"/>
        <v>8012315</v>
      </c>
      <c r="O17">
        <f t="shared" si="2"/>
        <v>-114660</v>
      </c>
      <c r="P17" s="2">
        <f t="shared" si="3"/>
        <v>2506075</v>
      </c>
      <c r="Q17">
        <f t="shared" si="4"/>
        <v>0</v>
      </c>
    </row>
    <row r="18" spans="1:17" x14ac:dyDescent="0.3">
      <c r="A18" t="s">
        <v>12</v>
      </c>
      <c r="B18" t="s">
        <v>29</v>
      </c>
      <c r="C18">
        <v>11766065</v>
      </c>
      <c r="D18">
        <v>2544899</v>
      </c>
      <c r="E18">
        <v>3247034</v>
      </c>
      <c r="F18">
        <v>1693585</v>
      </c>
      <c r="G18">
        <v>71369</v>
      </c>
      <c r="H18">
        <v>785484</v>
      </c>
      <c r="I18">
        <v>5.09</v>
      </c>
      <c r="J18">
        <v>6.11</v>
      </c>
      <c r="K18">
        <v>7.74</v>
      </c>
      <c r="L18" s="1">
        <v>3495063</v>
      </c>
      <c r="M18">
        <f t="shared" si="0"/>
        <v>11766065</v>
      </c>
      <c r="N18">
        <f t="shared" si="1"/>
        <v>8271002</v>
      </c>
      <c r="O18">
        <f t="shared" si="2"/>
        <v>71369</v>
      </c>
      <c r="P18" s="2">
        <f t="shared" si="3"/>
        <v>3566432</v>
      </c>
      <c r="Q18">
        <f t="shared" si="4"/>
        <v>71369</v>
      </c>
    </row>
    <row r="19" spans="1:17" x14ac:dyDescent="0.3">
      <c r="A19" t="s">
        <v>12</v>
      </c>
      <c r="B19" t="s">
        <v>30</v>
      </c>
      <c r="C19">
        <v>11512524</v>
      </c>
      <c r="D19">
        <v>2580235</v>
      </c>
      <c r="E19">
        <v>3014043</v>
      </c>
      <c r="F19">
        <v>1802906</v>
      </c>
      <c r="G19">
        <v>-281953</v>
      </c>
      <c r="H19">
        <v>764474</v>
      </c>
      <c r="I19">
        <v>4.74</v>
      </c>
      <c r="J19">
        <v>6.36</v>
      </c>
      <c r="K19">
        <v>10.44</v>
      </c>
      <c r="L19" s="1">
        <v>3068913</v>
      </c>
      <c r="M19">
        <f t="shared" si="0"/>
        <v>11512524</v>
      </c>
      <c r="N19">
        <f t="shared" si="1"/>
        <v>8161658</v>
      </c>
      <c r="O19">
        <f t="shared" si="2"/>
        <v>-281953</v>
      </c>
      <c r="P19" s="2">
        <f t="shared" si="3"/>
        <v>3068913</v>
      </c>
      <c r="Q19">
        <f t="shared" si="4"/>
        <v>0</v>
      </c>
    </row>
    <row r="20" spans="1:17" x14ac:dyDescent="0.3">
      <c r="A20" t="s">
        <v>12</v>
      </c>
      <c r="B20" t="s">
        <v>31</v>
      </c>
      <c r="C20">
        <v>11717201</v>
      </c>
      <c r="D20">
        <v>2508376</v>
      </c>
      <c r="E20">
        <v>3526352</v>
      </c>
      <c r="F20">
        <v>1787848</v>
      </c>
      <c r="G20">
        <v>-207213</v>
      </c>
      <c r="H20">
        <v>887830</v>
      </c>
      <c r="I20">
        <v>6.22</v>
      </c>
      <c r="J20">
        <v>6.01</v>
      </c>
      <c r="K20">
        <v>8.06</v>
      </c>
      <c r="L20" s="1">
        <v>2799582</v>
      </c>
      <c r="M20">
        <f t="shared" si="0"/>
        <v>11717201</v>
      </c>
      <c r="N20">
        <f t="shared" si="1"/>
        <v>8710406</v>
      </c>
      <c r="O20">
        <f t="shared" si="2"/>
        <v>-207213</v>
      </c>
      <c r="P20" s="2">
        <f t="shared" si="3"/>
        <v>2799582</v>
      </c>
      <c r="Q20">
        <f t="shared" si="4"/>
        <v>0</v>
      </c>
    </row>
    <row r="21" spans="1:17" x14ac:dyDescent="0.3">
      <c r="A21" t="s">
        <v>12</v>
      </c>
      <c r="B21" t="s">
        <v>32</v>
      </c>
      <c r="C21">
        <v>11576697</v>
      </c>
      <c r="D21">
        <v>2609170</v>
      </c>
      <c r="E21">
        <v>3701868</v>
      </c>
      <c r="F21">
        <v>1815838</v>
      </c>
      <c r="G21">
        <v>35674</v>
      </c>
      <c r="H21">
        <v>877166</v>
      </c>
      <c r="I21">
        <v>4.9400000000000004</v>
      </c>
      <c r="J21">
        <v>6.56</v>
      </c>
      <c r="K21">
        <v>7.42</v>
      </c>
      <c r="L21" s="1">
        <v>2572655</v>
      </c>
      <c r="M21">
        <f t="shared" si="0"/>
        <v>11576697</v>
      </c>
      <c r="N21">
        <f t="shared" si="1"/>
        <v>9004042</v>
      </c>
      <c r="O21">
        <f t="shared" si="2"/>
        <v>35674</v>
      </c>
      <c r="P21" s="2">
        <f t="shared" si="3"/>
        <v>2608329</v>
      </c>
      <c r="Q21">
        <f t="shared" si="4"/>
        <v>35674</v>
      </c>
    </row>
    <row r="22" spans="1:17" x14ac:dyDescent="0.3">
      <c r="A22" t="s">
        <v>12</v>
      </c>
      <c r="B22" t="s">
        <v>33</v>
      </c>
      <c r="C22">
        <v>12098977</v>
      </c>
      <c r="D22">
        <v>2419353</v>
      </c>
      <c r="E22">
        <v>3447837</v>
      </c>
      <c r="F22">
        <v>1864283</v>
      </c>
      <c r="G22">
        <v>14877</v>
      </c>
      <c r="H22">
        <v>872256</v>
      </c>
      <c r="I22">
        <v>5.49</v>
      </c>
      <c r="J22">
        <v>6.3</v>
      </c>
      <c r="K22">
        <v>6.71</v>
      </c>
      <c r="L22" s="1">
        <v>3495248</v>
      </c>
      <c r="M22">
        <f t="shared" si="0"/>
        <v>12098977</v>
      </c>
      <c r="N22">
        <f t="shared" si="1"/>
        <v>8603729</v>
      </c>
      <c r="O22">
        <f t="shared" si="2"/>
        <v>14877</v>
      </c>
      <c r="P22" s="2">
        <f t="shared" si="3"/>
        <v>3510125</v>
      </c>
      <c r="Q22">
        <f t="shared" si="4"/>
        <v>14877</v>
      </c>
    </row>
    <row r="23" spans="1:17" x14ac:dyDescent="0.3">
      <c r="A23" t="s">
        <v>12</v>
      </c>
      <c r="B23" t="s">
        <v>34</v>
      </c>
      <c r="C23">
        <v>13072547</v>
      </c>
      <c r="D23">
        <v>2406736</v>
      </c>
      <c r="E23">
        <v>3559237</v>
      </c>
      <c r="F23">
        <v>1762859</v>
      </c>
      <c r="G23">
        <v>74325</v>
      </c>
      <c r="H23">
        <v>959229</v>
      </c>
      <c r="I23">
        <v>5.0599999999999996</v>
      </c>
      <c r="J23">
        <v>6.91</v>
      </c>
      <c r="K23">
        <v>6.44</v>
      </c>
      <c r="L23" s="1">
        <v>4384486</v>
      </c>
      <c r="M23">
        <f t="shared" si="0"/>
        <v>13072547</v>
      </c>
      <c r="N23">
        <f t="shared" si="1"/>
        <v>8688061</v>
      </c>
      <c r="O23">
        <f t="shared" si="2"/>
        <v>74325</v>
      </c>
      <c r="P23" s="2">
        <f t="shared" si="3"/>
        <v>4458811</v>
      </c>
      <c r="Q23">
        <f t="shared" si="4"/>
        <v>74325</v>
      </c>
    </row>
    <row r="24" spans="1:17" x14ac:dyDescent="0.3">
      <c r="A24" t="s">
        <v>12</v>
      </c>
      <c r="B24" t="s">
        <v>35</v>
      </c>
      <c r="C24">
        <v>12875248</v>
      </c>
      <c r="D24">
        <v>2430859</v>
      </c>
      <c r="E24">
        <v>3518556</v>
      </c>
      <c r="F24">
        <v>1885167</v>
      </c>
      <c r="G24">
        <v>-142619</v>
      </c>
      <c r="H24">
        <v>1060986</v>
      </c>
      <c r="I24">
        <v>5.69</v>
      </c>
      <c r="J24">
        <v>6.08</v>
      </c>
      <c r="K24">
        <v>7.22</v>
      </c>
      <c r="L24" s="1">
        <v>3837061</v>
      </c>
      <c r="M24">
        <f t="shared" si="0"/>
        <v>12875248</v>
      </c>
      <c r="N24">
        <f t="shared" si="1"/>
        <v>8895568</v>
      </c>
      <c r="O24">
        <f t="shared" si="2"/>
        <v>-142619</v>
      </c>
      <c r="P24" s="2">
        <f t="shared" si="3"/>
        <v>3837061</v>
      </c>
      <c r="Q24">
        <f t="shared" si="4"/>
        <v>0</v>
      </c>
    </row>
    <row r="25" spans="1:17" x14ac:dyDescent="0.3">
      <c r="A25" t="s">
        <v>12</v>
      </c>
      <c r="B25" t="s">
        <v>36</v>
      </c>
      <c r="C25">
        <v>13054981</v>
      </c>
      <c r="D25">
        <v>2548229</v>
      </c>
      <c r="E25">
        <v>3886181</v>
      </c>
      <c r="F25">
        <v>1756081</v>
      </c>
      <c r="G25">
        <v>-210955</v>
      </c>
      <c r="H25">
        <v>885438</v>
      </c>
      <c r="I25">
        <v>6.13</v>
      </c>
      <c r="J25">
        <v>6.8</v>
      </c>
      <c r="K25">
        <v>5.9</v>
      </c>
      <c r="L25" s="1">
        <v>3768097</v>
      </c>
      <c r="M25">
        <f t="shared" si="0"/>
        <v>13054981</v>
      </c>
      <c r="N25">
        <f t="shared" si="1"/>
        <v>9075929</v>
      </c>
      <c r="O25">
        <f t="shared" si="2"/>
        <v>-210955</v>
      </c>
      <c r="P25" s="2">
        <f t="shared" si="3"/>
        <v>3768097</v>
      </c>
      <c r="Q25">
        <f t="shared" si="4"/>
        <v>0</v>
      </c>
    </row>
    <row r="26" spans="1:17" x14ac:dyDescent="0.3">
      <c r="A26" t="s">
        <v>12</v>
      </c>
      <c r="B26" t="s">
        <v>37</v>
      </c>
      <c r="C26">
        <v>11421958</v>
      </c>
      <c r="D26">
        <v>2526867</v>
      </c>
      <c r="E26">
        <v>3281932</v>
      </c>
      <c r="F26">
        <v>1909178</v>
      </c>
      <c r="G26">
        <v>-180121</v>
      </c>
      <c r="H26">
        <v>890268</v>
      </c>
      <c r="I26">
        <v>5.69</v>
      </c>
      <c r="J26">
        <v>6.45</v>
      </c>
      <c r="K26">
        <v>5.6</v>
      </c>
      <c r="L26" s="1">
        <v>2633592</v>
      </c>
      <c r="M26">
        <f t="shared" si="0"/>
        <v>11421958</v>
      </c>
      <c r="N26">
        <f t="shared" si="1"/>
        <v>8608245</v>
      </c>
      <c r="O26">
        <f t="shared" si="2"/>
        <v>-180121</v>
      </c>
      <c r="P26" s="2">
        <f t="shared" si="3"/>
        <v>2633592</v>
      </c>
      <c r="Q26">
        <f t="shared" si="4"/>
        <v>0</v>
      </c>
    </row>
    <row r="27" spans="1:17" x14ac:dyDescent="0.3">
      <c r="A27" t="s">
        <v>12</v>
      </c>
      <c r="B27" t="s">
        <v>38</v>
      </c>
      <c r="C27">
        <v>12750180</v>
      </c>
      <c r="D27">
        <v>2492727</v>
      </c>
      <c r="E27">
        <v>3416817</v>
      </c>
      <c r="F27">
        <v>1841335</v>
      </c>
      <c r="G27">
        <v>-21833</v>
      </c>
      <c r="H27">
        <v>844648</v>
      </c>
      <c r="I27">
        <v>4.54</v>
      </c>
      <c r="J27">
        <v>6.97</v>
      </c>
      <c r="K27">
        <v>9.99</v>
      </c>
      <c r="L27" s="1">
        <v>4132820</v>
      </c>
      <c r="M27">
        <f t="shared" si="0"/>
        <v>12750180</v>
      </c>
      <c r="N27">
        <f t="shared" si="1"/>
        <v>8595527</v>
      </c>
      <c r="O27">
        <f t="shared" si="2"/>
        <v>-21833</v>
      </c>
      <c r="P27" s="2">
        <f t="shared" si="3"/>
        <v>4132820</v>
      </c>
      <c r="Q27">
        <f t="shared" si="4"/>
        <v>0</v>
      </c>
    </row>
    <row r="28" spans="1:17" x14ac:dyDescent="0.3">
      <c r="A28" t="s">
        <v>12</v>
      </c>
      <c r="B28" t="s">
        <v>39</v>
      </c>
      <c r="C28">
        <v>13141252</v>
      </c>
      <c r="D28">
        <v>2385311</v>
      </c>
      <c r="E28">
        <v>3426498</v>
      </c>
      <c r="F28">
        <v>1885796</v>
      </c>
      <c r="G28">
        <v>-85824</v>
      </c>
      <c r="H28">
        <v>1009301</v>
      </c>
      <c r="I28">
        <v>5.72</v>
      </c>
      <c r="J28">
        <v>6.01</v>
      </c>
      <c r="K28">
        <v>5.14</v>
      </c>
      <c r="L28" s="1">
        <v>4348522</v>
      </c>
      <c r="M28">
        <f t="shared" si="0"/>
        <v>13141252</v>
      </c>
      <c r="N28">
        <f t="shared" si="1"/>
        <v>8706906</v>
      </c>
      <c r="O28">
        <f t="shared" si="2"/>
        <v>-85824</v>
      </c>
      <c r="P28" s="2">
        <f t="shared" si="3"/>
        <v>4348522</v>
      </c>
      <c r="Q28">
        <f t="shared" si="4"/>
        <v>0</v>
      </c>
    </row>
    <row r="29" spans="1:17" x14ac:dyDescent="0.3">
      <c r="A29" t="s">
        <v>12</v>
      </c>
      <c r="B29" t="s">
        <v>40</v>
      </c>
      <c r="C29">
        <v>12264542</v>
      </c>
      <c r="D29">
        <v>2464478</v>
      </c>
      <c r="E29">
        <v>3770292</v>
      </c>
      <c r="F29">
        <v>1799503</v>
      </c>
      <c r="G29">
        <v>-169477</v>
      </c>
      <c r="H29">
        <v>843332</v>
      </c>
      <c r="I29">
        <v>5.23</v>
      </c>
      <c r="J29">
        <v>6.46</v>
      </c>
      <c r="K29">
        <v>9.7100000000000009</v>
      </c>
      <c r="L29" s="1">
        <v>3217460</v>
      </c>
      <c r="M29">
        <f t="shared" si="0"/>
        <v>12264542</v>
      </c>
      <c r="N29">
        <f t="shared" si="1"/>
        <v>8877605</v>
      </c>
      <c r="O29">
        <f t="shared" si="2"/>
        <v>-169477</v>
      </c>
      <c r="P29" s="2">
        <f t="shared" si="3"/>
        <v>3217460</v>
      </c>
      <c r="Q29">
        <f t="shared" si="4"/>
        <v>0</v>
      </c>
    </row>
    <row r="30" spans="1:17" x14ac:dyDescent="0.3">
      <c r="A30" t="s">
        <v>12</v>
      </c>
      <c r="B30" t="s">
        <v>41</v>
      </c>
      <c r="C30">
        <v>12824783</v>
      </c>
      <c r="D30">
        <v>2436886</v>
      </c>
      <c r="E30">
        <v>3751089</v>
      </c>
      <c r="F30">
        <v>1681551</v>
      </c>
      <c r="G30">
        <v>78360</v>
      </c>
      <c r="H30">
        <v>861373</v>
      </c>
      <c r="I30">
        <v>6.22</v>
      </c>
      <c r="J30">
        <v>6.68</v>
      </c>
      <c r="K30">
        <v>7.7</v>
      </c>
      <c r="L30" s="1">
        <v>4093884</v>
      </c>
      <c r="M30">
        <f t="shared" si="0"/>
        <v>12824783</v>
      </c>
      <c r="N30">
        <f t="shared" si="1"/>
        <v>8730899</v>
      </c>
      <c r="O30">
        <f t="shared" si="2"/>
        <v>78360</v>
      </c>
      <c r="P30" s="2">
        <f t="shared" si="3"/>
        <v>4172244</v>
      </c>
      <c r="Q30">
        <f t="shared" si="4"/>
        <v>78360</v>
      </c>
    </row>
    <row r="31" spans="1:17" x14ac:dyDescent="0.3">
      <c r="A31" t="s">
        <v>12</v>
      </c>
      <c r="B31" t="s">
        <v>42</v>
      </c>
      <c r="C31">
        <v>12605048</v>
      </c>
      <c r="D31">
        <v>2521699</v>
      </c>
      <c r="E31">
        <v>3699650</v>
      </c>
      <c r="F31">
        <v>1889931</v>
      </c>
      <c r="G31">
        <v>-60371</v>
      </c>
      <c r="H31">
        <v>1056710</v>
      </c>
      <c r="I31">
        <v>5.27</v>
      </c>
      <c r="J31">
        <v>6.02</v>
      </c>
      <c r="K31">
        <v>6.39</v>
      </c>
      <c r="L31" s="1">
        <v>3376687</v>
      </c>
      <c r="M31">
        <f t="shared" si="0"/>
        <v>12605048</v>
      </c>
      <c r="N31">
        <f t="shared" si="1"/>
        <v>9167990</v>
      </c>
      <c r="O31">
        <f t="shared" si="2"/>
        <v>-60371</v>
      </c>
      <c r="P31" s="2">
        <f t="shared" si="3"/>
        <v>3376687</v>
      </c>
      <c r="Q31">
        <f t="shared" si="4"/>
        <v>0</v>
      </c>
    </row>
    <row r="32" spans="1:17" x14ac:dyDescent="0.3">
      <c r="A32" t="s">
        <v>12</v>
      </c>
      <c r="B32" t="s">
        <v>43</v>
      </c>
      <c r="C32">
        <v>13473496</v>
      </c>
      <c r="D32">
        <v>2500174</v>
      </c>
      <c r="E32">
        <v>4083446</v>
      </c>
      <c r="F32">
        <v>1698555</v>
      </c>
      <c r="G32">
        <v>-43492</v>
      </c>
      <c r="H32">
        <v>862628</v>
      </c>
      <c r="I32">
        <v>4.57</v>
      </c>
      <c r="J32">
        <v>6.91</v>
      </c>
      <c r="K32">
        <v>6.55</v>
      </c>
      <c r="L32" s="1">
        <v>4285201</v>
      </c>
      <c r="M32">
        <f t="shared" si="0"/>
        <v>13473496</v>
      </c>
      <c r="N32">
        <f t="shared" si="1"/>
        <v>9144803</v>
      </c>
      <c r="O32">
        <f t="shared" si="2"/>
        <v>-43492</v>
      </c>
      <c r="P32" s="2">
        <f t="shared" si="3"/>
        <v>4285201</v>
      </c>
      <c r="Q32">
        <f t="shared" si="4"/>
        <v>0</v>
      </c>
    </row>
    <row r="33" spans="1:17" x14ac:dyDescent="0.3">
      <c r="A33" t="s">
        <v>12</v>
      </c>
      <c r="B33" t="s">
        <v>44</v>
      </c>
      <c r="C33">
        <v>12800051</v>
      </c>
      <c r="D33">
        <v>2577629</v>
      </c>
      <c r="E33">
        <v>3560725</v>
      </c>
      <c r="F33">
        <v>1890181</v>
      </c>
      <c r="G33">
        <v>41097</v>
      </c>
      <c r="H33">
        <v>885057</v>
      </c>
      <c r="I33">
        <v>4.87</v>
      </c>
      <c r="J33">
        <v>6.97</v>
      </c>
      <c r="K33">
        <v>9.65</v>
      </c>
      <c r="L33" s="1">
        <v>3886459</v>
      </c>
      <c r="M33">
        <f t="shared" si="0"/>
        <v>12800051</v>
      </c>
      <c r="N33">
        <f t="shared" si="1"/>
        <v>8913592</v>
      </c>
      <c r="O33">
        <f t="shared" si="2"/>
        <v>41097</v>
      </c>
      <c r="P33" s="2">
        <f t="shared" si="3"/>
        <v>3927556</v>
      </c>
      <c r="Q33">
        <f t="shared" si="4"/>
        <v>41097</v>
      </c>
    </row>
    <row r="34" spans="1:17" x14ac:dyDescent="0.3">
      <c r="A34" t="s">
        <v>12</v>
      </c>
      <c r="B34" t="s">
        <v>45</v>
      </c>
      <c r="C34">
        <v>11935750</v>
      </c>
      <c r="D34">
        <v>2417065</v>
      </c>
      <c r="E34">
        <v>3501201</v>
      </c>
      <c r="F34">
        <v>1749299</v>
      </c>
      <c r="G34">
        <v>125822</v>
      </c>
      <c r="H34">
        <v>824457</v>
      </c>
      <c r="I34">
        <v>4.68</v>
      </c>
      <c r="J34">
        <v>6.2</v>
      </c>
      <c r="K34">
        <v>5.27</v>
      </c>
      <c r="L34" s="1">
        <v>3443728</v>
      </c>
      <c r="M34">
        <f t="shared" si="0"/>
        <v>11935750</v>
      </c>
      <c r="N34">
        <f t="shared" si="1"/>
        <v>8492022</v>
      </c>
      <c r="O34">
        <f t="shared" si="2"/>
        <v>125822</v>
      </c>
      <c r="P34" s="2">
        <f t="shared" si="3"/>
        <v>3569550</v>
      </c>
      <c r="Q34">
        <f t="shared" si="4"/>
        <v>125822</v>
      </c>
    </row>
    <row r="35" spans="1:17" x14ac:dyDescent="0.3">
      <c r="A35" t="s">
        <v>12</v>
      </c>
      <c r="B35" t="s">
        <v>46</v>
      </c>
      <c r="C35">
        <v>12015354</v>
      </c>
      <c r="D35">
        <v>2600884</v>
      </c>
      <c r="E35">
        <v>3212760</v>
      </c>
      <c r="F35">
        <v>1674300</v>
      </c>
      <c r="G35">
        <v>-217202</v>
      </c>
      <c r="H35">
        <v>799428</v>
      </c>
      <c r="I35">
        <v>5.67</v>
      </c>
      <c r="J35">
        <v>6.97</v>
      </c>
      <c r="K35">
        <v>8.64</v>
      </c>
      <c r="L35" s="1">
        <v>3510780</v>
      </c>
      <c r="M35">
        <f t="shared" si="0"/>
        <v>12015354</v>
      </c>
      <c r="N35">
        <f t="shared" si="1"/>
        <v>8287372</v>
      </c>
      <c r="O35">
        <f t="shared" si="2"/>
        <v>-217202</v>
      </c>
      <c r="P35" s="2">
        <f t="shared" si="3"/>
        <v>3510780</v>
      </c>
      <c r="Q35">
        <f t="shared" si="4"/>
        <v>0</v>
      </c>
    </row>
    <row r="36" spans="1:17" x14ac:dyDescent="0.3">
      <c r="A36" t="s">
        <v>12</v>
      </c>
      <c r="B36" t="s">
        <v>47</v>
      </c>
      <c r="C36">
        <v>11633642</v>
      </c>
      <c r="D36">
        <v>2616584</v>
      </c>
      <c r="E36">
        <v>3658972</v>
      </c>
      <c r="F36">
        <v>1698984</v>
      </c>
      <c r="G36">
        <v>2918</v>
      </c>
      <c r="H36">
        <v>768847</v>
      </c>
      <c r="I36">
        <v>6.04</v>
      </c>
      <c r="J36">
        <v>6.2</v>
      </c>
      <c r="K36">
        <v>5.03</v>
      </c>
      <c r="L36" s="1">
        <v>2890255</v>
      </c>
      <c r="M36">
        <f t="shared" si="0"/>
        <v>11633642</v>
      </c>
      <c r="N36">
        <f t="shared" si="1"/>
        <v>8743387</v>
      </c>
      <c r="O36">
        <f t="shared" si="2"/>
        <v>2918</v>
      </c>
      <c r="P36" s="2">
        <f t="shared" si="3"/>
        <v>2893173</v>
      </c>
      <c r="Q36">
        <f t="shared" si="4"/>
        <v>2918</v>
      </c>
    </row>
    <row r="37" spans="1:17" x14ac:dyDescent="0.3">
      <c r="A37" t="s">
        <v>12</v>
      </c>
      <c r="B37" t="s">
        <v>48</v>
      </c>
      <c r="C37">
        <v>10955104</v>
      </c>
      <c r="D37">
        <v>2598610</v>
      </c>
      <c r="E37">
        <v>3311290</v>
      </c>
      <c r="F37">
        <v>1814231</v>
      </c>
      <c r="G37">
        <v>-286014</v>
      </c>
      <c r="H37">
        <v>805766</v>
      </c>
      <c r="I37">
        <v>6.04</v>
      </c>
      <c r="J37">
        <v>6.07</v>
      </c>
      <c r="K37">
        <v>7.15</v>
      </c>
      <c r="L37" s="1">
        <v>2139193</v>
      </c>
      <c r="M37">
        <f t="shared" si="0"/>
        <v>10955104</v>
      </c>
      <c r="N37">
        <f t="shared" si="1"/>
        <v>8529897</v>
      </c>
      <c r="O37">
        <f t="shared" si="2"/>
        <v>-286014</v>
      </c>
      <c r="P37" s="2">
        <f t="shared" si="3"/>
        <v>2139193</v>
      </c>
      <c r="Q37">
        <f t="shared" si="4"/>
        <v>0</v>
      </c>
    </row>
    <row r="38" spans="1:17" x14ac:dyDescent="0.3">
      <c r="A38" t="s">
        <v>12</v>
      </c>
      <c r="B38" t="s">
        <v>49</v>
      </c>
      <c r="C38">
        <v>11421958</v>
      </c>
      <c r="D38">
        <v>2526867</v>
      </c>
      <c r="E38">
        <v>3281932</v>
      </c>
      <c r="F38">
        <v>1909178</v>
      </c>
      <c r="G38">
        <v>-180121</v>
      </c>
      <c r="H38">
        <v>890268</v>
      </c>
      <c r="I38">
        <v>5.69</v>
      </c>
      <c r="J38">
        <v>6.45</v>
      </c>
      <c r="K38">
        <v>5.6</v>
      </c>
      <c r="L38" s="1">
        <v>2633592</v>
      </c>
      <c r="M38">
        <f t="shared" si="0"/>
        <v>11421958</v>
      </c>
      <c r="N38">
        <f t="shared" si="1"/>
        <v>8608245</v>
      </c>
      <c r="O38">
        <f t="shared" si="2"/>
        <v>-180121</v>
      </c>
      <c r="P38" s="2">
        <f t="shared" si="3"/>
        <v>2633592</v>
      </c>
      <c r="Q38">
        <f t="shared" si="4"/>
        <v>0</v>
      </c>
    </row>
    <row r="39" spans="1:17" x14ac:dyDescent="0.3">
      <c r="A39" t="s">
        <v>12</v>
      </c>
      <c r="B39" t="s">
        <v>50</v>
      </c>
      <c r="C39">
        <v>12750180</v>
      </c>
      <c r="D39">
        <v>2492727</v>
      </c>
      <c r="E39">
        <v>3416817</v>
      </c>
      <c r="F39">
        <v>1841335</v>
      </c>
      <c r="G39">
        <v>-21833</v>
      </c>
      <c r="H39">
        <v>844648</v>
      </c>
      <c r="I39">
        <v>4.54</v>
      </c>
      <c r="J39">
        <v>6.97</v>
      </c>
      <c r="K39">
        <v>9.99</v>
      </c>
      <c r="L39" s="1">
        <v>4132820</v>
      </c>
      <c r="M39">
        <f t="shared" si="0"/>
        <v>12750180</v>
      </c>
      <c r="N39">
        <f t="shared" si="1"/>
        <v>8595527</v>
      </c>
      <c r="O39">
        <f t="shared" si="2"/>
        <v>-21833</v>
      </c>
      <c r="P39" s="2">
        <f t="shared" si="3"/>
        <v>4132820</v>
      </c>
      <c r="Q39">
        <f t="shared" si="4"/>
        <v>0</v>
      </c>
    </row>
    <row r="40" spans="1:17" x14ac:dyDescent="0.3">
      <c r="A40" t="s">
        <v>12</v>
      </c>
      <c r="B40" t="s">
        <v>51</v>
      </c>
      <c r="C40">
        <v>13141252</v>
      </c>
      <c r="D40">
        <v>2385311</v>
      </c>
      <c r="E40">
        <v>3426498</v>
      </c>
      <c r="F40">
        <v>1885796</v>
      </c>
      <c r="G40">
        <v>-85824</v>
      </c>
      <c r="H40">
        <v>1009301</v>
      </c>
      <c r="I40">
        <v>5.72</v>
      </c>
      <c r="J40">
        <v>6.01</v>
      </c>
      <c r="K40">
        <v>5.14</v>
      </c>
      <c r="L40" s="1">
        <v>4348522</v>
      </c>
      <c r="M40">
        <f t="shared" si="0"/>
        <v>13141252</v>
      </c>
      <c r="N40">
        <f t="shared" si="1"/>
        <v>8706906</v>
      </c>
      <c r="O40">
        <f t="shared" si="2"/>
        <v>-85824</v>
      </c>
      <c r="P40" s="2">
        <f t="shared" si="3"/>
        <v>4348522</v>
      </c>
      <c r="Q40">
        <f t="shared" si="4"/>
        <v>0</v>
      </c>
    </row>
    <row r="41" spans="1:17" x14ac:dyDescent="0.3">
      <c r="A41" t="s">
        <v>12</v>
      </c>
      <c r="B41" t="s">
        <v>52</v>
      </c>
      <c r="C41">
        <v>12264542</v>
      </c>
      <c r="D41">
        <v>2464478</v>
      </c>
      <c r="E41">
        <v>3770292</v>
      </c>
      <c r="F41">
        <v>1799503</v>
      </c>
      <c r="G41">
        <v>-169477</v>
      </c>
      <c r="H41">
        <v>843332</v>
      </c>
      <c r="I41">
        <v>5.23</v>
      </c>
      <c r="J41">
        <v>6.46</v>
      </c>
      <c r="K41">
        <v>9.7100000000000009</v>
      </c>
      <c r="L41" s="1">
        <v>3217460</v>
      </c>
      <c r="M41">
        <f t="shared" si="0"/>
        <v>12264542</v>
      </c>
      <c r="N41">
        <f t="shared" si="1"/>
        <v>8877605</v>
      </c>
      <c r="O41">
        <f t="shared" si="2"/>
        <v>-169477</v>
      </c>
      <c r="P41" s="2">
        <f t="shared" si="3"/>
        <v>3217460</v>
      </c>
      <c r="Q41">
        <f t="shared" si="4"/>
        <v>0</v>
      </c>
    </row>
    <row r="42" spans="1:17" x14ac:dyDescent="0.3">
      <c r="A42" t="s">
        <v>12</v>
      </c>
      <c r="B42" t="s">
        <v>53</v>
      </c>
      <c r="C42">
        <v>12824783</v>
      </c>
      <c r="D42">
        <v>2436886</v>
      </c>
      <c r="E42">
        <v>3751089</v>
      </c>
      <c r="F42">
        <v>1681551</v>
      </c>
      <c r="G42">
        <v>78360</v>
      </c>
      <c r="H42">
        <v>861373</v>
      </c>
      <c r="I42">
        <v>6.22</v>
      </c>
      <c r="J42">
        <v>6.68</v>
      </c>
      <c r="K42">
        <v>7.7</v>
      </c>
      <c r="L42" s="1">
        <v>4093884</v>
      </c>
      <c r="M42">
        <f t="shared" si="0"/>
        <v>12824783</v>
      </c>
      <c r="N42">
        <f t="shared" si="1"/>
        <v>8730899</v>
      </c>
      <c r="O42">
        <f t="shared" si="2"/>
        <v>78360</v>
      </c>
      <c r="P42" s="2">
        <f t="shared" si="3"/>
        <v>4172244</v>
      </c>
      <c r="Q42">
        <f t="shared" si="4"/>
        <v>78360</v>
      </c>
    </row>
    <row r="43" spans="1:17" x14ac:dyDescent="0.3">
      <c r="A43" t="s">
        <v>12</v>
      </c>
      <c r="B43" t="s">
        <v>54</v>
      </c>
      <c r="C43">
        <v>12605048</v>
      </c>
      <c r="D43">
        <v>2521699</v>
      </c>
      <c r="E43">
        <v>3699650</v>
      </c>
      <c r="F43">
        <v>1889931</v>
      </c>
      <c r="G43">
        <v>-60371</v>
      </c>
      <c r="H43">
        <v>1056710</v>
      </c>
      <c r="I43">
        <v>5.27</v>
      </c>
      <c r="J43">
        <v>6.02</v>
      </c>
      <c r="K43">
        <v>6.39</v>
      </c>
      <c r="L43" s="1">
        <v>3376687</v>
      </c>
      <c r="M43">
        <f t="shared" si="0"/>
        <v>12605048</v>
      </c>
      <c r="N43">
        <f t="shared" si="1"/>
        <v>9167990</v>
      </c>
      <c r="O43">
        <f t="shared" si="2"/>
        <v>-60371</v>
      </c>
      <c r="P43" s="2">
        <f t="shared" si="3"/>
        <v>3376687</v>
      </c>
      <c r="Q43">
        <f t="shared" si="4"/>
        <v>0</v>
      </c>
    </row>
    <row r="44" spans="1:17" x14ac:dyDescent="0.3">
      <c r="A44" t="s">
        <v>12</v>
      </c>
      <c r="B44" t="s">
        <v>55</v>
      </c>
      <c r="C44">
        <v>13473496</v>
      </c>
      <c r="D44">
        <v>2500174</v>
      </c>
      <c r="E44">
        <v>4083446</v>
      </c>
      <c r="F44">
        <v>1698555</v>
      </c>
      <c r="G44">
        <v>-43492</v>
      </c>
      <c r="H44">
        <v>862628</v>
      </c>
      <c r="I44">
        <v>4.57</v>
      </c>
      <c r="J44">
        <v>6.91</v>
      </c>
      <c r="K44">
        <v>6.55</v>
      </c>
      <c r="L44" s="1">
        <v>4285201</v>
      </c>
      <c r="M44">
        <f t="shared" si="0"/>
        <v>13473496</v>
      </c>
      <c r="N44">
        <f t="shared" si="1"/>
        <v>9144803</v>
      </c>
      <c r="O44">
        <f t="shared" si="2"/>
        <v>-43492</v>
      </c>
      <c r="P44" s="2">
        <f t="shared" si="3"/>
        <v>4285201</v>
      </c>
      <c r="Q44">
        <f t="shared" si="4"/>
        <v>0</v>
      </c>
    </row>
    <row r="45" spans="1:17" x14ac:dyDescent="0.3">
      <c r="A45" t="s">
        <v>12</v>
      </c>
      <c r="B45" t="s">
        <v>56</v>
      </c>
      <c r="C45">
        <v>12800051</v>
      </c>
      <c r="D45">
        <v>2577629</v>
      </c>
      <c r="E45">
        <v>3560725</v>
      </c>
      <c r="F45">
        <v>1890181</v>
      </c>
      <c r="G45">
        <v>41097</v>
      </c>
      <c r="H45">
        <v>885057</v>
      </c>
      <c r="I45">
        <v>4.87</v>
      </c>
      <c r="J45">
        <v>6.97</v>
      </c>
      <c r="K45">
        <v>9.65</v>
      </c>
      <c r="L45" s="1">
        <v>3886459</v>
      </c>
      <c r="M45">
        <f t="shared" si="0"/>
        <v>12800051</v>
      </c>
      <c r="N45">
        <f t="shared" si="1"/>
        <v>8913592</v>
      </c>
      <c r="O45">
        <f t="shared" si="2"/>
        <v>41097</v>
      </c>
      <c r="P45" s="2">
        <f t="shared" si="3"/>
        <v>3927556</v>
      </c>
      <c r="Q45">
        <f t="shared" si="4"/>
        <v>41097</v>
      </c>
    </row>
    <row r="46" spans="1:17" x14ac:dyDescent="0.3">
      <c r="A46" t="s">
        <v>12</v>
      </c>
      <c r="B46" t="s">
        <v>57</v>
      </c>
      <c r="C46">
        <v>11935750</v>
      </c>
      <c r="D46">
        <v>2417065</v>
      </c>
      <c r="E46">
        <v>3501201</v>
      </c>
      <c r="F46">
        <v>1749299</v>
      </c>
      <c r="G46">
        <v>125822</v>
      </c>
      <c r="H46">
        <v>824457</v>
      </c>
      <c r="I46">
        <v>4.68</v>
      </c>
      <c r="J46">
        <v>6.2</v>
      </c>
      <c r="K46">
        <v>5.27</v>
      </c>
      <c r="L46" s="1">
        <v>3443728</v>
      </c>
      <c r="M46">
        <f t="shared" si="0"/>
        <v>11935750</v>
      </c>
      <c r="N46">
        <f t="shared" si="1"/>
        <v>8492022</v>
      </c>
      <c r="O46">
        <f t="shared" si="2"/>
        <v>125822</v>
      </c>
      <c r="P46" s="2">
        <f t="shared" si="3"/>
        <v>3569550</v>
      </c>
      <c r="Q46">
        <f t="shared" si="4"/>
        <v>125822</v>
      </c>
    </row>
    <row r="47" spans="1:17" x14ac:dyDescent="0.3">
      <c r="A47" t="s">
        <v>12</v>
      </c>
      <c r="B47" t="s">
        <v>58</v>
      </c>
      <c r="C47">
        <v>12015354</v>
      </c>
      <c r="D47">
        <v>2600884</v>
      </c>
      <c r="E47">
        <v>3212760</v>
      </c>
      <c r="F47">
        <v>1674300</v>
      </c>
      <c r="G47">
        <v>-217202</v>
      </c>
      <c r="H47">
        <v>799428</v>
      </c>
      <c r="I47">
        <v>5.67</v>
      </c>
      <c r="J47">
        <v>6.97</v>
      </c>
      <c r="K47">
        <v>8.64</v>
      </c>
      <c r="L47" s="1">
        <v>3510780</v>
      </c>
      <c r="M47">
        <f t="shared" si="0"/>
        <v>12015354</v>
      </c>
      <c r="N47">
        <f t="shared" si="1"/>
        <v>8287372</v>
      </c>
      <c r="O47">
        <f t="shared" si="2"/>
        <v>-217202</v>
      </c>
      <c r="P47" s="2">
        <f t="shared" si="3"/>
        <v>3510780</v>
      </c>
      <c r="Q47">
        <f t="shared" si="4"/>
        <v>0</v>
      </c>
    </row>
    <row r="48" spans="1:17" x14ac:dyDescent="0.3">
      <c r="A48" t="s">
        <v>12</v>
      </c>
      <c r="B48" t="s">
        <v>59</v>
      </c>
      <c r="C48">
        <v>11633642</v>
      </c>
      <c r="D48">
        <v>2616584</v>
      </c>
      <c r="E48">
        <v>3658972</v>
      </c>
      <c r="F48">
        <v>1698984</v>
      </c>
      <c r="G48">
        <v>2918</v>
      </c>
      <c r="H48">
        <v>768847</v>
      </c>
      <c r="I48">
        <v>6.04</v>
      </c>
      <c r="J48">
        <v>6.2</v>
      </c>
      <c r="K48">
        <v>5.03</v>
      </c>
      <c r="L48" s="1">
        <v>2890255</v>
      </c>
      <c r="M48">
        <f t="shared" si="0"/>
        <v>11633642</v>
      </c>
      <c r="N48">
        <f t="shared" si="1"/>
        <v>8743387</v>
      </c>
      <c r="O48">
        <f t="shared" si="2"/>
        <v>2918</v>
      </c>
      <c r="P48" s="2">
        <f t="shared" si="3"/>
        <v>2893173</v>
      </c>
      <c r="Q48">
        <f t="shared" si="4"/>
        <v>2918</v>
      </c>
    </row>
    <row r="49" spans="1:17" x14ac:dyDescent="0.3">
      <c r="A49" t="s">
        <v>12</v>
      </c>
      <c r="B49" t="s">
        <v>60</v>
      </c>
      <c r="C49">
        <v>10955104</v>
      </c>
      <c r="D49">
        <v>2598610</v>
      </c>
      <c r="E49">
        <v>3311290</v>
      </c>
      <c r="F49">
        <v>1814231</v>
      </c>
      <c r="G49">
        <v>-286014</v>
      </c>
      <c r="H49">
        <v>805766</v>
      </c>
      <c r="I49">
        <v>6.04</v>
      </c>
      <c r="J49">
        <v>6.07</v>
      </c>
      <c r="K49">
        <v>7.15</v>
      </c>
      <c r="L49" s="1">
        <v>2139193</v>
      </c>
      <c r="M49">
        <f t="shared" si="0"/>
        <v>10955104</v>
      </c>
      <c r="N49">
        <f t="shared" si="1"/>
        <v>8529897</v>
      </c>
      <c r="O49">
        <f t="shared" si="2"/>
        <v>-286014</v>
      </c>
      <c r="P49" s="2">
        <f t="shared" si="3"/>
        <v>2139193</v>
      </c>
      <c r="Q49">
        <f t="shared" si="4"/>
        <v>0</v>
      </c>
    </row>
    <row r="50" spans="1:17" x14ac:dyDescent="0.3">
      <c r="A50" t="s">
        <v>12</v>
      </c>
      <c r="B50" t="s">
        <v>61</v>
      </c>
      <c r="C50">
        <v>11202245</v>
      </c>
      <c r="D50">
        <v>2563323</v>
      </c>
      <c r="E50">
        <v>3222901</v>
      </c>
      <c r="F50">
        <v>1920536</v>
      </c>
      <c r="G50">
        <v>-269465</v>
      </c>
      <c r="H50">
        <v>935185</v>
      </c>
      <c r="I50">
        <v>5.16</v>
      </c>
      <c r="J50">
        <v>6.06</v>
      </c>
      <c r="K50">
        <v>6.87</v>
      </c>
      <c r="L50" s="1">
        <v>2290835</v>
      </c>
      <c r="M50">
        <f t="shared" si="0"/>
        <v>11202245</v>
      </c>
      <c r="N50">
        <f t="shared" si="1"/>
        <v>8641945</v>
      </c>
      <c r="O50">
        <f t="shared" si="2"/>
        <v>-269465</v>
      </c>
      <c r="P50" s="2">
        <f t="shared" si="3"/>
        <v>2290835</v>
      </c>
      <c r="Q50">
        <f t="shared" si="4"/>
        <v>0</v>
      </c>
    </row>
    <row r="51" spans="1:17" x14ac:dyDescent="0.3">
      <c r="A51" t="s">
        <v>12</v>
      </c>
      <c r="B51" t="s">
        <v>62</v>
      </c>
      <c r="C51">
        <v>10897716</v>
      </c>
      <c r="D51">
        <v>2595723</v>
      </c>
      <c r="E51">
        <v>3346426</v>
      </c>
      <c r="F51">
        <v>1923109</v>
      </c>
      <c r="G51">
        <v>-275462</v>
      </c>
      <c r="H51">
        <v>821176</v>
      </c>
      <c r="I51">
        <v>5.44</v>
      </c>
      <c r="J51">
        <v>6.12</v>
      </c>
      <c r="K51">
        <v>9.2799999999999994</v>
      </c>
      <c r="L51" s="1">
        <v>1935820</v>
      </c>
      <c r="M51">
        <f t="shared" si="0"/>
        <v>10897716</v>
      </c>
      <c r="N51">
        <f t="shared" si="1"/>
        <v>8686434</v>
      </c>
      <c r="O51">
        <f t="shared" si="2"/>
        <v>-275462</v>
      </c>
      <c r="P51" s="2">
        <f t="shared" si="3"/>
        <v>1935820</v>
      </c>
      <c r="Q51">
        <f t="shared" si="4"/>
        <v>0</v>
      </c>
    </row>
    <row r="52" spans="1:17" x14ac:dyDescent="0.3">
      <c r="A52" t="s">
        <v>12</v>
      </c>
      <c r="B52" t="s">
        <v>63</v>
      </c>
      <c r="C52">
        <v>10525067</v>
      </c>
      <c r="D52">
        <v>2594020</v>
      </c>
      <c r="E52">
        <v>3493386</v>
      </c>
      <c r="F52">
        <v>1740982</v>
      </c>
      <c r="G52">
        <v>-178374</v>
      </c>
      <c r="H52">
        <v>827251</v>
      </c>
      <c r="I52">
        <v>5.92</v>
      </c>
      <c r="J52">
        <v>6.11</v>
      </c>
      <c r="K52">
        <v>7.64</v>
      </c>
      <c r="L52" s="1">
        <v>1691054</v>
      </c>
      <c r="M52">
        <f t="shared" si="0"/>
        <v>10525067</v>
      </c>
      <c r="N52">
        <f t="shared" si="1"/>
        <v>8655639</v>
      </c>
      <c r="O52">
        <f t="shared" si="2"/>
        <v>-178374</v>
      </c>
      <c r="P52" s="2">
        <f t="shared" si="3"/>
        <v>1691054</v>
      </c>
      <c r="Q52">
        <f t="shared" si="4"/>
        <v>0</v>
      </c>
    </row>
    <row r="53" spans="1:17" x14ac:dyDescent="0.3">
      <c r="A53" t="s">
        <v>12</v>
      </c>
      <c r="B53" t="s">
        <v>64</v>
      </c>
      <c r="C53">
        <v>10633050</v>
      </c>
      <c r="D53">
        <v>2430015</v>
      </c>
      <c r="E53">
        <v>3003597</v>
      </c>
      <c r="F53">
        <v>1757059</v>
      </c>
      <c r="G53">
        <v>-114660</v>
      </c>
      <c r="H53">
        <v>821644</v>
      </c>
      <c r="I53">
        <v>5.89</v>
      </c>
      <c r="J53">
        <v>6.14</v>
      </c>
      <c r="K53">
        <v>8.6300000000000008</v>
      </c>
      <c r="L53" s="1">
        <v>2506075</v>
      </c>
      <c r="M53">
        <f t="shared" si="0"/>
        <v>10633050</v>
      </c>
      <c r="N53">
        <f t="shared" si="1"/>
        <v>8012315</v>
      </c>
      <c r="O53">
        <f t="shared" si="2"/>
        <v>-114660</v>
      </c>
      <c r="P53" s="2">
        <f t="shared" si="3"/>
        <v>2506075</v>
      </c>
      <c r="Q53">
        <f t="shared" si="4"/>
        <v>0</v>
      </c>
    </row>
    <row r="54" spans="1:17" x14ac:dyDescent="0.3">
      <c r="A54" t="s">
        <v>12</v>
      </c>
      <c r="B54" t="s">
        <v>65</v>
      </c>
      <c r="C54">
        <v>11766065</v>
      </c>
      <c r="D54">
        <v>2544899</v>
      </c>
      <c r="E54">
        <v>3247034</v>
      </c>
      <c r="F54">
        <v>1693585</v>
      </c>
      <c r="G54">
        <v>71369</v>
      </c>
      <c r="H54">
        <v>785484</v>
      </c>
      <c r="I54">
        <v>5.09</v>
      </c>
      <c r="J54">
        <v>6.11</v>
      </c>
      <c r="K54">
        <v>7.74</v>
      </c>
      <c r="L54" s="1">
        <v>3495063</v>
      </c>
      <c r="M54">
        <f t="shared" si="0"/>
        <v>11766065</v>
      </c>
      <c r="N54">
        <f t="shared" si="1"/>
        <v>8271002</v>
      </c>
      <c r="O54">
        <f t="shared" si="2"/>
        <v>71369</v>
      </c>
      <c r="P54" s="2">
        <f t="shared" si="3"/>
        <v>3566432</v>
      </c>
      <c r="Q54">
        <f t="shared" si="4"/>
        <v>71369</v>
      </c>
    </row>
    <row r="55" spans="1:17" x14ac:dyDescent="0.3">
      <c r="A55" t="s">
        <v>12</v>
      </c>
      <c r="B55" t="s">
        <v>66</v>
      </c>
      <c r="C55">
        <v>11512524</v>
      </c>
      <c r="D55">
        <v>2580235</v>
      </c>
      <c r="E55">
        <v>3014043</v>
      </c>
      <c r="F55">
        <v>1802906</v>
      </c>
      <c r="G55">
        <v>-281953</v>
      </c>
      <c r="H55">
        <v>764474</v>
      </c>
      <c r="I55">
        <v>4.74</v>
      </c>
      <c r="J55">
        <v>6.36</v>
      </c>
      <c r="K55">
        <v>10.44</v>
      </c>
      <c r="L55" s="1">
        <v>3068913</v>
      </c>
      <c r="M55">
        <f t="shared" si="0"/>
        <v>11512524</v>
      </c>
      <c r="N55">
        <f t="shared" si="1"/>
        <v>8161658</v>
      </c>
      <c r="O55">
        <f t="shared" si="2"/>
        <v>-281953</v>
      </c>
      <c r="P55" s="2">
        <f t="shared" si="3"/>
        <v>3068913</v>
      </c>
      <c r="Q55">
        <f t="shared" si="4"/>
        <v>0</v>
      </c>
    </row>
    <row r="56" spans="1:17" x14ac:dyDescent="0.3">
      <c r="A56" t="s">
        <v>12</v>
      </c>
      <c r="B56" t="s">
        <v>67</v>
      </c>
      <c r="C56">
        <v>11717201</v>
      </c>
      <c r="D56">
        <v>2508376</v>
      </c>
      <c r="E56">
        <v>3526352</v>
      </c>
      <c r="F56">
        <v>1787848</v>
      </c>
      <c r="G56">
        <v>-207213</v>
      </c>
      <c r="H56">
        <v>887830</v>
      </c>
      <c r="I56">
        <v>6.22</v>
      </c>
      <c r="J56">
        <v>6.01</v>
      </c>
      <c r="K56">
        <v>8.06</v>
      </c>
      <c r="L56" s="1">
        <v>2799582</v>
      </c>
      <c r="M56">
        <f t="shared" si="0"/>
        <v>11717201</v>
      </c>
      <c r="N56">
        <f t="shared" si="1"/>
        <v>8710406</v>
      </c>
      <c r="O56">
        <f t="shared" si="2"/>
        <v>-207213</v>
      </c>
      <c r="P56" s="2">
        <f t="shared" si="3"/>
        <v>2799582</v>
      </c>
      <c r="Q56">
        <f t="shared" si="4"/>
        <v>0</v>
      </c>
    </row>
    <row r="57" spans="1:17" x14ac:dyDescent="0.3">
      <c r="A57" t="s">
        <v>12</v>
      </c>
      <c r="B57" t="s">
        <v>68</v>
      </c>
      <c r="C57">
        <v>11576697</v>
      </c>
      <c r="D57">
        <v>2609170</v>
      </c>
      <c r="E57">
        <v>3701868</v>
      </c>
      <c r="F57">
        <v>1815838</v>
      </c>
      <c r="G57">
        <v>35674</v>
      </c>
      <c r="H57">
        <v>877166</v>
      </c>
      <c r="I57">
        <v>4.9400000000000004</v>
      </c>
      <c r="J57">
        <v>6.56</v>
      </c>
      <c r="K57">
        <v>7.42</v>
      </c>
      <c r="L57" s="1">
        <v>2572655</v>
      </c>
      <c r="M57">
        <f t="shared" si="0"/>
        <v>11576697</v>
      </c>
      <c r="N57">
        <f t="shared" si="1"/>
        <v>9004042</v>
      </c>
      <c r="O57">
        <f t="shared" si="2"/>
        <v>35674</v>
      </c>
      <c r="P57" s="2">
        <f t="shared" si="3"/>
        <v>2608329</v>
      </c>
      <c r="Q57">
        <f t="shared" si="4"/>
        <v>35674</v>
      </c>
    </row>
    <row r="58" spans="1:17" x14ac:dyDescent="0.3">
      <c r="A58" t="s">
        <v>12</v>
      </c>
      <c r="B58" t="s">
        <v>69</v>
      </c>
      <c r="C58">
        <v>12098977</v>
      </c>
      <c r="D58">
        <v>2419353</v>
      </c>
      <c r="E58">
        <v>3447837</v>
      </c>
      <c r="F58">
        <v>1864283</v>
      </c>
      <c r="G58">
        <v>14877</v>
      </c>
      <c r="H58">
        <v>872256</v>
      </c>
      <c r="I58">
        <v>5.49</v>
      </c>
      <c r="J58">
        <v>6.3</v>
      </c>
      <c r="K58">
        <v>6.71</v>
      </c>
      <c r="L58" s="1">
        <v>3495248</v>
      </c>
      <c r="M58">
        <f t="shared" si="0"/>
        <v>12098977</v>
      </c>
      <c r="N58">
        <f t="shared" si="1"/>
        <v>8603729</v>
      </c>
      <c r="O58">
        <f t="shared" si="2"/>
        <v>14877</v>
      </c>
      <c r="P58" s="2">
        <f t="shared" si="3"/>
        <v>3510125</v>
      </c>
      <c r="Q58">
        <f t="shared" si="4"/>
        <v>14877</v>
      </c>
    </row>
    <row r="59" spans="1:17" x14ac:dyDescent="0.3">
      <c r="A59" t="s">
        <v>12</v>
      </c>
      <c r="B59" t="s">
        <v>70</v>
      </c>
      <c r="C59">
        <v>13072547</v>
      </c>
      <c r="D59">
        <v>2406736</v>
      </c>
      <c r="E59">
        <v>3559237</v>
      </c>
      <c r="F59">
        <v>1762859</v>
      </c>
      <c r="G59">
        <v>74325</v>
      </c>
      <c r="H59">
        <v>959229</v>
      </c>
      <c r="I59">
        <v>5.0599999999999996</v>
      </c>
      <c r="J59">
        <v>6.91</v>
      </c>
      <c r="K59">
        <v>6.44</v>
      </c>
      <c r="L59" s="1">
        <v>4384486</v>
      </c>
      <c r="M59">
        <f t="shared" si="0"/>
        <v>13072547</v>
      </c>
      <c r="N59">
        <f t="shared" si="1"/>
        <v>8688061</v>
      </c>
      <c r="O59">
        <f t="shared" si="2"/>
        <v>74325</v>
      </c>
      <c r="P59" s="2">
        <f t="shared" si="3"/>
        <v>4458811</v>
      </c>
      <c r="Q59">
        <f t="shared" si="4"/>
        <v>74325</v>
      </c>
    </row>
    <row r="60" spans="1:17" x14ac:dyDescent="0.3">
      <c r="A60" t="s">
        <v>12</v>
      </c>
      <c r="B60" t="s">
        <v>71</v>
      </c>
      <c r="C60">
        <v>12875248</v>
      </c>
      <c r="D60">
        <v>2430859</v>
      </c>
      <c r="E60">
        <v>3518556</v>
      </c>
      <c r="F60">
        <v>1885167</v>
      </c>
      <c r="G60">
        <v>-142619</v>
      </c>
      <c r="H60">
        <v>1060986</v>
      </c>
      <c r="I60">
        <v>5.69</v>
      </c>
      <c r="J60">
        <v>6.08</v>
      </c>
      <c r="K60">
        <v>7.22</v>
      </c>
      <c r="L60" s="1">
        <v>3837061</v>
      </c>
      <c r="M60">
        <f t="shared" si="0"/>
        <v>12875248</v>
      </c>
      <c r="N60">
        <f t="shared" si="1"/>
        <v>8895568</v>
      </c>
      <c r="O60">
        <f t="shared" si="2"/>
        <v>-142619</v>
      </c>
      <c r="P60" s="2">
        <f t="shared" si="3"/>
        <v>3837061</v>
      </c>
      <c r="Q60">
        <f t="shared" si="4"/>
        <v>0</v>
      </c>
    </row>
    <row r="61" spans="1:17" x14ac:dyDescent="0.3">
      <c r="A61" t="s">
        <v>12</v>
      </c>
      <c r="B61" t="s">
        <v>72</v>
      </c>
      <c r="C61">
        <v>13054981</v>
      </c>
      <c r="D61">
        <v>2548229</v>
      </c>
      <c r="E61">
        <v>3886181</v>
      </c>
      <c r="F61">
        <v>1756081</v>
      </c>
      <c r="G61">
        <v>-210955</v>
      </c>
      <c r="H61">
        <v>885438</v>
      </c>
      <c r="I61">
        <v>6.13</v>
      </c>
      <c r="J61">
        <v>6.8</v>
      </c>
      <c r="K61">
        <v>5.9</v>
      </c>
      <c r="L61" s="1">
        <v>3768097</v>
      </c>
      <c r="M61">
        <f t="shared" si="0"/>
        <v>13054981</v>
      </c>
      <c r="N61">
        <f t="shared" si="1"/>
        <v>9075929</v>
      </c>
      <c r="O61">
        <f t="shared" si="2"/>
        <v>-210955</v>
      </c>
      <c r="P61" s="2">
        <f t="shared" si="3"/>
        <v>3768097</v>
      </c>
      <c r="Q61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2026-05-17T07:35:32Z</dcterms:created>
  <dcterms:modified xsi:type="dcterms:W3CDTF">2026-05-17T07:43:51Z</dcterms:modified>
</cp:coreProperties>
</file>